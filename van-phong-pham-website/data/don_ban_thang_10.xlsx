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onBan" sheetId="1" state="visible" r:id="rId3"/>
    <sheet name="SanPham" sheetId="2" state="visible" r:id="rId4"/>
  </sheets>
  <definedNames>
    <definedName function="false" hidden="true" localSheetId="0" name="_xlnm._FilterDatabase" vbProcedure="false">DonBan!$A$1:$G$16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<sst xmlns="http://schemas.openxmlformats.org/spreadsheetml/2006/main" count="69" uniqueCount="51">
  <si>
    <t xml:space="preserve">ma_db</t>
  </si>
  <si>
    <t xml:space="preserve">ngay_ban</t>
  </si>
  <si>
    <t xml:space="preserve">ma_sp</t>
  </si>
  <si>
    <t xml:space="preserve">sl_ban</t>
  </si>
  <si>
    <t xml:space="preserve">ten_sp</t>
  </si>
  <si>
    <t xml:space="preserve">gia_ban</t>
  </si>
  <si>
    <t xml:space="preserve">tien_ban</t>
  </si>
  <si>
    <t xml:space="preserve">DB001</t>
  </si>
  <si>
    <t xml:space="preserve">2025-10-01</t>
  </si>
  <si>
    <t xml:space="preserve">KE01</t>
  </si>
  <si>
    <t xml:space="preserve">DB002</t>
  </si>
  <si>
    <t xml:space="preserve">2025-10-02</t>
  </si>
  <si>
    <t xml:space="preserve">BA01</t>
  </si>
  <si>
    <t xml:space="preserve">DB003</t>
  </si>
  <si>
    <t xml:space="preserve">2025-10-03</t>
  </si>
  <si>
    <t xml:space="preserve">VO01</t>
  </si>
  <si>
    <t xml:space="preserve">DB004</t>
  </si>
  <si>
    <t xml:space="preserve">2025-10-04</t>
  </si>
  <si>
    <t xml:space="preserve">DB005</t>
  </si>
  <si>
    <t xml:space="preserve">2025-10-05</t>
  </si>
  <si>
    <t xml:space="preserve">BB01</t>
  </si>
  <si>
    <t xml:space="preserve">DB006</t>
  </si>
  <si>
    <t xml:space="preserve">2025-10-06</t>
  </si>
  <si>
    <t xml:space="preserve">DB007</t>
  </si>
  <si>
    <t xml:space="preserve">2025-10-07</t>
  </si>
  <si>
    <t xml:space="preserve">DB008</t>
  </si>
  <si>
    <t xml:space="preserve">2025-10-08</t>
  </si>
  <si>
    <t xml:space="preserve">DB009</t>
  </si>
  <si>
    <t xml:space="preserve">2025-10-09</t>
  </si>
  <si>
    <t xml:space="preserve">DB010</t>
  </si>
  <si>
    <t xml:space="preserve">2025-10-10</t>
  </si>
  <si>
    <t xml:space="preserve">MT01</t>
  </si>
  <si>
    <t xml:space="preserve">DB011</t>
  </si>
  <si>
    <t xml:space="preserve">2025-10-11</t>
  </si>
  <si>
    <t xml:space="preserve">GI01</t>
  </si>
  <si>
    <t xml:space="preserve">DB012</t>
  </si>
  <si>
    <t xml:space="preserve">2025-10-12</t>
  </si>
  <si>
    <t xml:space="preserve">DB013</t>
  </si>
  <si>
    <t xml:space="preserve">2025-10-13</t>
  </si>
  <si>
    <t xml:space="preserve">DB014</t>
  </si>
  <si>
    <t xml:space="preserve">2025-10-14</t>
  </si>
  <si>
    <t xml:space="preserve">DB015</t>
  </si>
  <si>
    <t xml:space="preserve">2025-10-15</t>
  </si>
  <si>
    <t xml:space="preserve">HO01</t>
  </si>
  <si>
    <t xml:space="preserve">Bo but bi 10 chiec</t>
  </si>
  <si>
    <t xml:space="preserve">Loc vo 5 quyen</t>
  </si>
  <si>
    <t xml:space="preserve">Giay A4 500 to</t>
  </si>
  <si>
    <t xml:space="preserve">Balo hoc sinh</t>
  </si>
  <si>
    <t xml:space="preserve">May tinh bo tui</t>
  </si>
  <si>
    <t xml:space="preserve">Ke sach mini</t>
  </si>
  <si>
    <t xml:space="preserve">Hop but da nang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</si>
</sst>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G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1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0" t="s">
        <v>7</v>
      </c>
      <c r="B2" s="0" t="s">
        <v>8</v>
      </c>
      <c r="C2" s="0" t="s">
        <v>9</v>
      </c>
      <c r="D2" s="0" t="n">
        <v>4</v>
      </c>
      <c r="E2" s="0" t="str">
        <f aca="false">VLOOKUP(C2,SanPham!$A$2:$C$8,2,FALSE())</f>
        <v>Ke sach mini</v>
      </c>
      <c r="F2" s="0" t="n">
        <f aca="false">VLOOKUP(C2,SanPham!$A$2:$C$8,3,FALSE())</f>
        <v>100000</v>
      </c>
      <c r="G2" s="0" t="n">
        <f aca="false">D2*F2</f>
        <v>400000</v>
      </c>
    </row>
    <row r="3" customFormat="false" ht="15" hidden="false" customHeight="false" outlineLevel="0" collapsed="false">
      <c r="A3" s="0" t="s">
        <v>10</v>
      </c>
      <c r="B3" s="0" t="s">
        <v>11</v>
      </c>
      <c r="C3" s="0" t="s">
        <v>12</v>
      </c>
      <c r="D3" s="0" t="n">
        <v>4</v>
      </c>
      <c r="E3" s="0" t="str">
        <f aca="false">VLOOKUP(C3,SanPham!$A$2:$C$8,2,FALSE())</f>
        <v>Balo hoc sinh</v>
      </c>
      <c r="F3" s="0" t="n">
        <f aca="false">VLOOKUP(C3,SanPham!$A$2:$C$8,3,FALSE())</f>
        <v>250000</v>
      </c>
      <c r="G3" s="0" t="n">
        <f aca="false">D3*F3</f>
        <v>1000000</v>
      </c>
    </row>
    <row r="4" customFormat="false" ht="15" hidden="true" customHeight="false" outlineLevel="0" collapsed="false">
      <c r="A4" s="0" t="s">
        <v>13</v>
      </c>
      <c r="B4" s="0" t="s">
        <v>14</v>
      </c>
      <c r="C4" s="0" t="s">
        <v>15</v>
      </c>
      <c r="D4" s="0" t="n">
        <v>2</v>
      </c>
      <c r="E4" s="0" t="str">
        <f aca="false">VLOOKUP(C4,SanPham!$A$2:$C$8,2,FALSE())</f>
        <v>Loc vo 5 quyen</v>
      </c>
      <c r="F4" s="0" t="n">
        <f aca="false">VLOOKUP(C4,SanPham!$A$2:$C$8,3,FALSE())</f>
        <v>60000</v>
      </c>
      <c r="G4" s="0" t="n">
        <f aca="false">D4*F4</f>
        <v>120000</v>
      </c>
    </row>
    <row r="5" customFormat="false" ht="15" hidden="false" customHeight="false" outlineLevel="0" collapsed="false">
      <c r="A5" s="0" t="s">
        <v>16</v>
      </c>
      <c r="B5" s="0" t="s">
        <v>17</v>
      </c>
      <c r="C5" s="0" t="s">
        <v>9</v>
      </c>
      <c r="D5" s="0" t="n">
        <v>5</v>
      </c>
      <c r="E5" s="0" t="str">
        <f aca="false">VLOOKUP(C5,SanPham!$A$2:$C$8,2,FALSE())</f>
        <v>Ke sach mini</v>
      </c>
      <c r="F5" s="0" t="n">
        <f aca="false">VLOOKUP(C5,SanPham!$A$2:$C$8,3,FALSE())</f>
        <v>100000</v>
      </c>
      <c r="G5" s="0" t="n">
        <f aca="false">D5*F5</f>
        <v>500000</v>
      </c>
    </row>
    <row r="6" customFormat="false" ht="15" hidden="true" customHeight="false" outlineLevel="0" collapsed="false">
      <c r="A6" s="0" t="s">
        <v>18</v>
      </c>
      <c r="B6" s="0" t="s">
        <v>19</v>
      </c>
      <c r="C6" s="0" t="s">
        <v>20</v>
      </c>
      <c r="D6" s="0" t="n">
        <v>1</v>
      </c>
      <c r="E6" s="0" t="str">
        <f aca="false">VLOOKUP(C6,SanPham!$A$2:$C$8,2,FALSE())</f>
        <v>Bo but bi 10 chiec</v>
      </c>
      <c r="F6" s="0" t="n">
        <f aca="false">VLOOKUP(C6,SanPham!$A$2:$C$8,3,FALSE())</f>
        <v>35000</v>
      </c>
      <c r="G6" s="0" t="n">
        <f aca="false">D6*F6</f>
        <v>35000</v>
      </c>
    </row>
    <row r="7" customFormat="false" ht="15" hidden="true" customHeight="false" outlineLevel="0" collapsed="false">
      <c r="A7" s="0" t="s">
        <v>21</v>
      </c>
      <c r="B7" s="0" t="s">
        <v>22</v>
      </c>
      <c r="C7" s="0" t="s">
        <v>20</v>
      </c>
      <c r="D7" s="0" t="n">
        <v>4</v>
      </c>
      <c r="E7" s="0" t="str">
        <f aca="false">VLOOKUP(C7,SanPham!$A$2:$C$8,2,FALSE())</f>
        <v>Bo but bi 10 chiec</v>
      </c>
      <c r="F7" s="0" t="n">
        <f aca="false">VLOOKUP(C7,SanPham!$A$2:$C$8,3,FALSE())</f>
        <v>35000</v>
      </c>
      <c r="G7" s="0" t="n">
        <f aca="false">D7*F7</f>
        <v>140000</v>
      </c>
    </row>
    <row r="8" customFormat="false" ht="15" hidden="false" customHeight="false" outlineLevel="0" collapsed="false">
      <c r="A8" s="0" t="s">
        <v>23</v>
      </c>
      <c r="B8" s="0" t="s">
        <v>24</v>
      </c>
      <c r="C8" s="0" t="s">
        <v>12</v>
      </c>
      <c r="D8" s="0" t="n">
        <v>5</v>
      </c>
      <c r="E8" s="0" t="str">
        <f aca="false">VLOOKUP(C8,SanPham!$A$2:$C$8,2,FALSE())</f>
        <v>Balo hoc sinh</v>
      </c>
      <c r="F8" s="0" t="n">
        <f aca="false">VLOOKUP(C8,SanPham!$A$2:$C$8,3,FALSE())</f>
        <v>250000</v>
      </c>
      <c r="G8" s="0" t="n">
        <f aca="false">D8*F8</f>
        <v>1250000</v>
      </c>
    </row>
    <row r="9" customFormat="false" ht="15" hidden="true" customHeight="false" outlineLevel="0" collapsed="false">
      <c r="A9" s="0" t="s">
        <v>25</v>
      </c>
      <c r="B9" s="0" t="s">
        <v>26</v>
      </c>
      <c r="C9" s="0" t="s">
        <v>15</v>
      </c>
      <c r="D9" s="0" t="n">
        <v>3</v>
      </c>
      <c r="E9" s="0" t="str">
        <f aca="false">VLOOKUP(C9,SanPham!$A$2:$C$8,2,FALSE())</f>
        <v>Loc vo 5 quyen</v>
      </c>
      <c r="F9" s="0" t="n">
        <f aca="false">VLOOKUP(C9,SanPham!$A$2:$C$8,3,FALSE())</f>
        <v>60000</v>
      </c>
      <c r="G9" s="0" t="n">
        <f aca="false">D9*F9</f>
        <v>180000</v>
      </c>
    </row>
    <row r="10" customFormat="false" ht="15" hidden="false" customHeight="false" outlineLevel="0" collapsed="false">
      <c r="A10" s="0" t="s">
        <v>27</v>
      </c>
      <c r="B10" s="0" t="s">
        <v>28</v>
      </c>
      <c r="C10" s="0" t="s">
        <v>12</v>
      </c>
      <c r="D10" s="0" t="n">
        <v>2</v>
      </c>
      <c r="E10" s="0" t="str">
        <f aca="false">VLOOKUP(C10,SanPham!$A$2:$C$8,2,FALSE())</f>
        <v>Balo hoc sinh</v>
      </c>
      <c r="F10" s="0" t="n">
        <f aca="false">VLOOKUP(C10,SanPham!$A$2:$C$8,3,FALSE())</f>
        <v>250000</v>
      </c>
      <c r="G10" s="0" t="n">
        <f aca="false">D10*F10</f>
        <v>500000</v>
      </c>
    </row>
    <row r="11" customFormat="false" ht="15" hidden="false" customHeight="false" outlineLevel="0" collapsed="false">
      <c r="A11" s="0" t="s">
        <v>29</v>
      </c>
      <c r="B11" s="0" t="s">
        <v>30</v>
      </c>
      <c r="C11" s="0" t="s">
        <v>31</v>
      </c>
      <c r="D11" s="0" t="n">
        <v>2</v>
      </c>
      <c r="E11" s="0" t="str">
        <f aca="false">VLOOKUP(C11,SanPham!$A$2:$C$8,2,FALSE())</f>
        <v>May tinh bo tui</v>
      </c>
      <c r="F11" s="0" t="n">
        <f aca="false">VLOOKUP(C11,SanPham!$A$2:$C$8,3,FALSE())</f>
        <v>150000</v>
      </c>
      <c r="G11" s="0" t="n">
        <f aca="false">D11*F11</f>
        <v>300000</v>
      </c>
    </row>
    <row r="12" customFormat="false" ht="15" hidden="true" customHeight="false" outlineLevel="0" collapsed="false">
      <c r="A12" s="0" t="s">
        <v>32</v>
      </c>
      <c r="B12" s="0" t="s">
        <v>33</v>
      </c>
      <c r="C12" s="0" t="s">
        <v>34</v>
      </c>
      <c r="D12" s="0" t="n">
        <v>2</v>
      </c>
      <c r="E12" s="0" t="str">
        <f aca="false">VLOOKUP(C12,SanPham!$A$2:$C$8,2,FALSE())</f>
        <v>Giay A4 500 to</v>
      </c>
      <c r="F12" s="0" t="n">
        <f aca="false">VLOOKUP(C12,SanPham!$A$2:$C$8,3,FALSE())</f>
        <v>75000</v>
      </c>
      <c r="G12" s="0" t="n">
        <f aca="false">D12*F12</f>
        <v>150000</v>
      </c>
    </row>
    <row r="13" customFormat="false" ht="15" hidden="true" customHeight="false" outlineLevel="0" collapsed="false">
      <c r="A13" s="0" t="s">
        <v>35</v>
      </c>
      <c r="B13" s="0" t="s">
        <v>36</v>
      </c>
      <c r="C13" s="0" t="s">
        <v>15</v>
      </c>
      <c r="D13" s="0" t="n">
        <v>3</v>
      </c>
      <c r="E13" s="0" t="str">
        <f aca="false">VLOOKUP(C13,SanPham!$A$2:$C$8,2,FALSE())</f>
        <v>Loc vo 5 quyen</v>
      </c>
      <c r="F13" s="0" t="n">
        <f aca="false">VLOOKUP(C13,SanPham!$A$2:$C$8,3,FALSE())</f>
        <v>60000</v>
      </c>
      <c r="G13" s="0" t="n">
        <f aca="false">D13*F13</f>
        <v>180000</v>
      </c>
    </row>
    <row r="14" customFormat="false" ht="15" hidden="true" customHeight="false" outlineLevel="0" collapsed="false">
      <c r="A14" s="0" t="s">
        <v>37</v>
      </c>
      <c r="B14" s="0" t="s">
        <v>38</v>
      </c>
      <c r="C14" s="0" t="s">
        <v>20</v>
      </c>
      <c r="D14" s="0" t="n">
        <v>5</v>
      </c>
      <c r="E14" s="0" t="str">
        <f aca="false">VLOOKUP(C14,SanPham!$A$2:$C$8,2,FALSE())</f>
        <v>Bo but bi 10 chiec</v>
      </c>
      <c r="F14" s="0" t="n">
        <f aca="false">VLOOKUP(C14,SanPham!$A$2:$C$8,3,FALSE())</f>
        <v>35000</v>
      </c>
      <c r="G14" s="0" t="n">
        <f aca="false">D14*F14</f>
        <v>175000</v>
      </c>
    </row>
    <row r="15" customFormat="false" ht="15" hidden="false" customHeight="false" outlineLevel="0" collapsed="false">
      <c r="A15" s="0" t="s">
        <v>39</v>
      </c>
      <c r="B15" s="0" t="s">
        <v>40</v>
      </c>
      <c r="C15" s="0" t="s">
        <v>9</v>
      </c>
      <c r="D15" s="0" t="n">
        <v>4</v>
      </c>
      <c r="E15" s="0" t="str">
        <f aca="false">VLOOKUP(C15,SanPham!$A$2:$C$8,2,FALSE())</f>
        <v>Ke sach mini</v>
      </c>
      <c r="F15" s="0" t="n">
        <f aca="false">VLOOKUP(C15,SanPham!$A$2:$C$8,3,FALSE())</f>
        <v>100000</v>
      </c>
      <c r="G15" s="0" t="n">
        <f aca="false">D15*F15</f>
        <v>400000</v>
      </c>
    </row>
    <row r="16" customFormat="false" ht="15" hidden="true" customHeight="false" outlineLevel="0" collapsed="false">
      <c r="A16" s="0" t="s">
        <v>41</v>
      </c>
      <c r="B16" s="0" t="s">
        <v>42</v>
      </c>
      <c r="C16" s="0" t="s">
        <v>43</v>
      </c>
      <c r="D16" s="0" t="n">
        <v>5</v>
      </c>
      <c r="E16" s="0" t="str">
        <f aca="false">VLOOKUP(C16,SanPham!$A$2:$C$8,2,FALSE())</f>
        <v>Hop but da nang</v>
      </c>
      <c r="F16" s="0" t="n">
        <f aca="false">VLOOKUP(C16,SanPham!$A$2:$C$8,3,FALSE())</f>
        <v>45000</v>
      </c>
      <c r="G16" s="0" t="n">
        <f aca="false">D16*F16</f>
        <v>225000</v>
      </c>
    </row>
  </sheetData>
  <autoFilter ref="A1:G16">
    <filterColumn colId="6">
      <customFilters and="true">
        <customFilter operator="greaterThanOrEqual" val="300000"/>
      </custom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15"/>
  </cols>
  <sheetData>
    <row r="1" customFormat="false" ht="15" hidden="false" customHeight="false" outlineLevel="0" collapsed="false">
      <c r="A1" s="0" t="s">
        <v>2</v>
      </c>
      <c r="B1" s="0" t="s">
        <v>4</v>
      </c>
      <c r="C1" s="0" t="s">
        <v>5</v>
      </c>
    </row>
    <row r="2" customFormat="false" ht="15" hidden="false" customHeight="false" outlineLevel="0" collapsed="false">
      <c r="A2" s="0" t="s">
        <v>20</v>
      </c>
      <c r="B2" s="0" t="s">
        <v>44</v>
      </c>
      <c r="C2" s="0" t="n">
        <v>35000</v>
      </c>
    </row>
    <row r="3" customFormat="false" ht="15" hidden="false" customHeight="false" outlineLevel="0" collapsed="false">
      <c r="A3" s="0" t="s">
        <v>15</v>
      </c>
      <c r="B3" s="0" t="s">
        <v>45</v>
      </c>
      <c r="C3" s="0" t="n">
        <v>60000</v>
      </c>
    </row>
    <row r="4" customFormat="false" ht="15" hidden="false" customHeight="false" outlineLevel="0" collapsed="false">
      <c r="A4" s="0" t="s">
        <v>34</v>
      </c>
      <c r="B4" s="0" t="s">
        <v>46</v>
      </c>
      <c r="C4" s="0" t="n">
        <v>75000</v>
      </c>
    </row>
    <row r="5" customFormat="false" ht="15" hidden="false" customHeight="false" outlineLevel="0" collapsed="false">
      <c r="A5" s="0" t="s">
        <v>12</v>
      </c>
      <c r="B5" s="0" t="s">
        <v>47</v>
      </c>
      <c r="C5" s="0" t="n">
        <v>250000</v>
      </c>
    </row>
    <row r="6" customFormat="false" ht="15" hidden="false" customHeight="false" outlineLevel="0" collapsed="false">
      <c r="A6" s="0" t="s">
        <v>31</v>
      </c>
      <c r="B6" s="0" t="s">
        <v>48</v>
      </c>
      <c r="C6" s="0" t="n">
        <v>150000</v>
      </c>
    </row>
    <row r="7" customFormat="false" ht="15" hidden="false" customHeight="false" outlineLevel="0" collapsed="false">
      <c r="A7" s="0" t="s">
        <v>9</v>
      </c>
      <c r="B7" s="0" t="s">
        <v>49</v>
      </c>
      <c r="C7" s="0" t="n">
        <v>100000</v>
      </c>
    </row>
    <row r="8" customFormat="false" ht="15" hidden="false" customHeight="false" outlineLevel="0" collapsed="false">
      <c r="A8" s="0" t="s">
        <v>43</v>
      </c>
      <c r="B8" s="0" t="s">
        <v>50</v>
      </c>
      <c r="C8" s="0" t="n">
        <v>45000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2026-10-19T09:41:35Z</dcterms:created>
  <dc:creator>openpyxl</dc:creator>
  <dc:description/>
  <dc:language>en-US</dc:language>
  <cp:lastModifiedBy/>
  <dcterms:modified xsi:type="dcterms:W3CDTF">2026-10-23T11:37:32Z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